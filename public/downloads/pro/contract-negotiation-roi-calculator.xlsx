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x"/>
  </numFmts>
  <fonts count="10">
    <font>
      <name val="Calibri"/>
      <family val="2"/>
      <color theme="1"/>
      <sz val="11"/>
      <scheme val="minor"/>
    </font>
    <font>
      <b val="1"/>
      <color rgb="001D4ED8"/>
      <sz val="16"/>
    </font>
    <font>
      <i val="1"/>
      <color rgb="0052525B"/>
      <sz val="10"/>
    </font>
    <font>
      <b val="1"/>
      <color rgb="00FFFFFF"/>
    </font>
    <font>
      <b val="1"/>
    </font>
    <font>
      <b val="1"/>
      <color rgb="0016A34A"/>
    </font>
    <font>
      <b val="1"/>
      <sz val="14"/>
    </font>
    <font>
      <b val="1"/>
      <color rgb="0016A34A"/>
      <sz val="14"/>
    </font>
    <font>
      <i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16A34A"/>
        <bgColor rgb="0016A34A"/>
      </patternFill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6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Contract Negotiation ROI Calculator</t>
        </is>
      </c>
    </row>
    <row r="2">
      <c r="A2" s="2" t="inlineStr">
        <is>
          <t>Calculate the financial impact of payor contract renegotiation</t>
        </is>
      </c>
    </row>
    <row r="4">
      <c r="A4" s="3" t="inlineStr">
        <is>
          <t>CURRENT STATE</t>
        </is>
      </c>
    </row>
    <row r="6">
      <c r="A6" t="inlineStr">
        <is>
          <t>Annual claims volume with this payor:</t>
        </is>
      </c>
      <c r="B6" s="4" t="n">
        <v>5000</v>
      </c>
    </row>
    <row r="7">
      <c r="A7" t="inlineStr">
        <is>
          <t>Current avg reimbursement per claim:</t>
        </is>
      </c>
      <c r="B7" s="5" t="n">
        <v>250</v>
      </c>
    </row>
    <row r="8">
      <c r="A8" t="inlineStr">
        <is>
          <t>Current denial rate:</t>
        </is>
      </c>
      <c r="B8" s="6" t="n">
        <v>0.08</v>
      </c>
    </row>
    <row r="9">
      <c r="A9" t="inlineStr">
        <is>
          <t>Avg $ per denial:</t>
        </is>
      </c>
      <c r="B9" s="5" t="n">
        <v>385</v>
      </c>
    </row>
    <row r="11">
      <c r="A11" s="7" t="inlineStr">
        <is>
          <t>PROPOSED NEGOTIATION TARGETS</t>
        </is>
      </c>
    </row>
    <row r="13">
      <c r="A13" t="inlineStr">
        <is>
          <t>Reimbursement increase (%):</t>
        </is>
      </c>
      <c r="B13" s="6" t="n">
        <v>0.05</v>
      </c>
    </row>
    <row r="14">
      <c r="A14" t="inlineStr">
        <is>
          <t>Target denial rate reduction:</t>
        </is>
      </c>
      <c r="B14" s="6" t="n">
        <v>0.02</v>
      </c>
    </row>
    <row r="16">
      <c r="A16" s="8" t="inlineStr">
        <is>
          <t>ANNUAL ROI</t>
        </is>
      </c>
    </row>
    <row r="18">
      <c r="A18" t="inlineStr">
        <is>
          <t>Current annual revenue:</t>
        </is>
      </c>
      <c r="B18" s="9">
        <f>B6*B7</f>
        <v/>
      </c>
    </row>
    <row r="19">
      <c r="A19" t="inlineStr">
        <is>
          <t>Projected revenue (with increase):</t>
        </is>
      </c>
      <c r="B19" s="10">
        <f>B18*(1+B13)</f>
        <v/>
      </c>
    </row>
    <row r="20">
      <c r="A20" t="inlineStr">
        <is>
          <t>Revenue gain from rate increase:</t>
        </is>
      </c>
      <c r="B20" s="11">
        <f>B19-B18</f>
        <v/>
      </c>
    </row>
    <row r="22">
      <c r="A22" t="inlineStr">
        <is>
          <t>Current annual denials (count):</t>
        </is>
      </c>
      <c r="B22" s="12">
        <f>B6*B8</f>
        <v/>
      </c>
    </row>
    <row r="23">
      <c r="A23" t="inlineStr">
        <is>
          <t>Denial reduction (count):</t>
        </is>
      </c>
      <c r="B23" s="12">
        <f>B6*B14</f>
        <v/>
      </c>
    </row>
    <row r="24">
      <c r="A24" t="inlineStr">
        <is>
          <t>Revenue recovered from denial reduction:</t>
        </is>
      </c>
      <c r="B24" s="11">
        <f>B23*B9</f>
        <v/>
      </c>
    </row>
    <row r="26">
      <c r="A26" s="13" t="inlineStr">
        <is>
          <t>TOTAL ANNUAL BENEFIT:</t>
        </is>
      </c>
      <c r="B26" s="14">
        <f>B20+B24</f>
        <v/>
      </c>
    </row>
    <row r="28">
      <c r="A28" t="inlineStr">
        <is>
          <t>Return on negotiation effort:</t>
        </is>
      </c>
      <c r="B28" s="15" t="inlineStr">
        <is>
          <t>If negotiation costs $10K-$20K, your ROI is:</t>
        </is>
      </c>
    </row>
    <row r="29">
      <c r="A29" t="inlineStr">
        <is>
          <t>ROI multiple:</t>
        </is>
      </c>
      <c r="B29" s="16">
        <f>B26/15000</f>
        <v/>
      </c>
    </row>
  </sheetData>
  <mergeCells count="6">
    <mergeCell ref="A4:B4"/>
    <mergeCell ref="A2:F2"/>
    <mergeCell ref="A16:B16"/>
    <mergeCell ref="A11:B11"/>
    <mergeCell ref="A1:F1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2026-02-20T13:46:18Z</dcterms:created>
  <dcterms:modified xmlns:dcterms="http://purl.org/dc/terms/" xmlns:xsi="http://www.w3.org/2001/XMLSchema-instance" xsi:type="dcterms:W3CDTF">2026-02-20T13:46:18Z</dcterms:modified>
</cp:coreProperties>
</file>
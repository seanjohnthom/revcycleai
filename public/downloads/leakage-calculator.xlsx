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ag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1D4ED8"/>
      <sz val="16"/>
    </font>
    <font>
      <i val="1"/>
      <color rgb="0052525B"/>
      <sz val="10"/>
    </font>
    <font>
      <b val="1"/>
    </font>
    <font>
      <b val="1"/>
      <sz val="12"/>
    </font>
    <font>
      <b val="1"/>
      <color rgb="00FFFFFF"/>
    </font>
    <font>
      <i val="1"/>
      <color rgb="0071717A"/>
      <sz val="9"/>
    </font>
    <font>
      <b val="1"/>
      <color rgb="00DC2626"/>
      <sz val="14"/>
    </font>
    <font>
      <b val="1"/>
      <color rgb="00DC2626"/>
    </font>
    <font>
      <b val="1"/>
      <color rgb="00DC2626"/>
      <sz val="12"/>
    </font>
  </fonts>
  <fills count="6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DC2626"/>
        <bgColor rgb="00DC2626"/>
      </patternFill>
    </fill>
    <fill>
      <patternFill patternType="solid">
        <fgColor rgb="00E4E4E7"/>
        <bgColor rgb="00E4E4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164" fontId="0" fillId="3" borderId="0" pivotButton="0" quotePrefix="0" xfId="0"/>
    <xf numFmtId="0" fontId="6" fillId="0" borderId="0" pivotButton="0" quotePrefix="0" xfId="0"/>
    <xf numFmtId="9" fontId="0" fillId="3" borderId="0" pivotButton="0" quotePrefix="0" xfId="0"/>
    <xf numFmtId="0" fontId="5" fillId="4" borderId="0" pivotButton="0" quotePrefix="0" xfId="0"/>
    <xf numFmtId="164" fontId="3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8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Umbrella Network Revenue Leakage Calculator</t>
        </is>
      </c>
    </row>
    <row r="2">
      <c r="A2" s="2" t="inlineStr">
        <is>
          <t>Estimate annual revenue loss from PPO network repricing</t>
        </is>
      </c>
    </row>
    <row r="4">
      <c r="A4" s="3" t="inlineStr">
        <is>
          <t>Instructions:</t>
        </is>
      </c>
    </row>
    <row r="5">
      <c r="A5" t="inlineStr">
        <is>
          <t>1. Enter your practice data in the YELLOW cells below</t>
        </is>
      </c>
    </row>
    <row r="6">
      <c r="A6" t="inlineStr">
        <is>
          <t>2. The calculator will automatically estimate annual leakage</t>
        </is>
      </c>
    </row>
    <row r="7">
      <c r="A7" t="inlineStr">
        <is>
          <t>3. Review the breakdown by payor to identify worst offenders</t>
        </is>
      </c>
    </row>
    <row r="9">
      <c r="A9" s="4" t="inlineStr">
        <is>
          <t>PRACTICE INPUTS</t>
        </is>
      </c>
    </row>
    <row r="11">
      <c r="A11" t="inlineStr">
        <is>
          <t>Total annual production:</t>
        </is>
      </c>
      <c r="B11" s="5" t="n">
        <v>1000000</v>
      </c>
      <c r="C11" s="6" t="inlineStr">
        <is>
          <t>(Enter your total annual collections)</t>
        </is>
      </c>
    </row>
    <row r="12">
      <c r="A12" t="inlineStr">
        <is>
          <t>% from PPO patients:</t>
        </is>
      </c>
      <c r="B12" s="7" t="n">
        <v>0.65</v>
      </c>
      <c r="C12" s="6" t="inlineStr">
        <is>
          <t>(Percentage of revenue from in-network PPO patients)</t>
        </is>
      </c>
    </row>
    <row r="13">
      <c r="A13" t="inlineStr">
        <is>
          <t>Avg umbrella network repricing:</t>
        </is>
      </c>
      <c r="B13" s="7" t="n">
        <v>0.15</v>
      </c>
      <c r="C13" s="6" t="inlineStr">
        <is>
          <t>(Typical: 10-20% below direct network rates)</t>
        </is>
      </c>
    </row>
    <row r="15">
      <c r="A15" s="8" t="inlineStr">
        <is>
          <t>ESTIMATED ANNUAL LEAKAGE</t>
        </is>
      </c>
    </row>
    <row r="17">
      <c r="A17" t="inlineStr">
        <is>
          <t>PPO Revenue:</t>
        </is>
      </c>
      <c r="B17" s="9">
        <f>B11*B12</f>
        <v/>
      </c>
    </row>
    <row r="18">
      <c r="A18" t="inlineStr">
        <is>
          <t>Annual Leakage:</t>
        </is>
      </c>
      <c r="B18" s="10">
        <f>B17*B13</f>
        <v/>
      </c>
    </row>
    <row r="19">
      <c r="A19" t="inlineStr">
        <is>
          <t>Monthly Leakage:</t>
        </is>
      </c>
      <c r="B19" s="11">
        <f>B18/12</f>
        <v/>
      </c>
    </row>
    <row r="21">
      <c r="A21" s="4" t="inlineStr">
        <is>
          <t>BREAKDOWN BY PAYOR (Optional)</t>
        </is>
      </c>
    </row>
    <row r="23">
      <c r="A23" s="12" t="inlineStr">
        <is>
          <t>Payor</t>
        </is>
      </c>
      <c r="B23" s="12" t="inlineStr">
        <is>
          <t>Annual Revenue</t>
        </is>
      </c>
      <c r="C23" s="12" t="inlineStr">
        <is>
          <t>% Repriced via Umbrella</t>
        </is>
      </c>
      <c r="D23" s="12" t="inlineStr">
        <is>
          <t>Avg Repricing %</t>
        </is>
      </c>
      <c r="E23" s="12" t="inlineStr">
        <is>
          <t>Annual Leakage</t>
        </is>
      </c>
    </row>
    <row r="24">
      <c r="A24" t="inlineStr">
        <is>
          <t>MetLife PDP Plus</t>
        </is>
      </c>
      <c r="B24" s="5" t="n">
        <v>150000</v>
      </c>
      <c r="C24" s="7" t="n">
        <v>0.8</v>
      </c>
      <c r="D24" s="7" t="n">
        <v>0.18</v>
      </c>
      <c r="E24" s="13">
        <f>B24*C24*D24</f>
        <v/>
      </c>
    </row>
    <row r="25">
      <c r="A25" t="inlineStr">
        <is>
          <t>Cigna DPPO</t>
        </is>
      </c>
      <c r="B25" s="5" t="n">
        <v>120000</v>
      </c>
      <c r="C25" s="7" t="n">
        <v>0.6</v>
      </c>
      <c r="D25" s="7" t="n">
        <v>0.12</v>
      </c>
      <c r="E25" s="13">
        <f>B25*C25*D25</f>
        <v/>
      </c>
    </row>
    <row r="26">
      <c r="A26" t="inlineStr">
        <is>
          <t>UnitedHealthcare</t>
        </is>
      </c>
      <c r="B26" s="5" t="n">
        <v>100000</v>
      </c>
      <c r="C26" s="7" t="n">
        <v>0.5</v>
      </c>
      <c r="D26" s="7" t="n">
        <v>0.1</v>
      </c>
      <c r="E26" s="13">
        <f>B26*C26*D26</f>
        <v/>
      </c>
    </row>
    <row r="27">
      <c r="A27" t="inlineStr">
        <is>
          <t>BCBS (DNOA states)</t>
        </is>
      </c>
      <c r="B27" s="5" t="n">
        <v>80000</v>
      </c>
      <c r="C27" s="7" t="n">
        <v>0.9</v>
      </c>
      <c r="D27" s="7" t="n">
        <v>0.25</v>
      </c>
      <c r="E27" s="13">
        <f>B27*C27*D27</f>
        <v/>
      </c>
    </row>
    <row r="28">
      <c r="A28" s="3" t="inlineStr">
        <is>
          <t>TOTAL</t>
        </is>
      </c>
      <c r="E28" s="14">
        <f>SUM(E24:E27)</f>
        <v/>
      </c>
    </row>
  </sheetData>
  <mergeCells count="5">
    <mergeCell ref="A2:F2"/>
    <mergeCell ref="A1:F1"/>
    <mergeCell ref="A9:F9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2026-02-20T04:56:44Z</dcterms:created>
  <dcterms:modified xmlns:dcterms="http://purl.org/dc/terms/" xmlns:xsi="http://www.w3.org/2001/XMLSchema-instance" xsi:type="dcterms:W3CDTF">2026-02-20T04:56:44Z</dcterms:modified>
</cp:coreProperties>
</file>
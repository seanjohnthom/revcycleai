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ials Log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1D4ED8"/>
      <sz val="16"/>
    </font>
    <font>
      <i val="1"/>
      <color rgb="0052525B"/>
      <sz val="10"/>
    </font>
    <font>
      <b val="1"/>
      <color rgb="00FFFFFF"/>
    </font>
    <font>
      <b val="1"/>
      <sz val="12"/>
    </font>
    <font>
      <b val="1"/>
      <sz val="14"/>
    </font>
    <font>
      <b val="1"/>
      <color rgb="00DC2626"/>
      <sz val="14"/>
    </font>
    <font>
      <b val="1"/>
      <color rgb="0016A34A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E4E4E7"/>
        <bgColor rgb="00E4E4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9" fontId="5" fillId="0" borderId="0" pivotButton="0" quotePrefix="0" xfId="0"/>
    <xf numFmtId="1" fontId="5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13" customWidth="1" min="5" max="5"/>
    <col width="12" customWidth="1" min="6" max="6"/>
    <col width="30" customWidth="1" min="7" max="7"/>
    <col width="18" customWidth="1" min="8" max="8"/>
    <col width="12" customWidth="1" min="9" max="9"/>
    <col width="15" customWidth="1" min="10" max="10"/>
  </cols>
  <sheetData>
    <row r="1">
      <c r="A1" s="1" t="inlineStr">
        <is>
          <t>Denial Management Tracking Dashboard</t>
        </is>
      </c>
    </row>
    <row r="2">
      <c r="A2" s="2" t="inlineStr">
        <is>
          <t>Track denial rates by payor, denial code, and CPT — built-in trend analysis</t>
        </is>
      </c>
    </row>
    <row r="4">
      <c r="A4" s="3" t="inlineStr">
        <is>
          <t>Date</t>
        </is>
      </c>
      <c r="B4" s="3" t="inlineStr">
        <is>
          <t>Patient ID</t>
        </is>
      </c>
      <c r="C4" s="3" t="inlineStr">
        <is>
          <t>Payor</t>
        </is>
      </c>
      <c r="D4" s="3" t="inlineStr">
        <is>
          <t>CPT Code</t>
        </is>
      </c>
      <c r="E4" s="3" t="inlineStr">
        <is>
          <t>Claim Amount</t>
        </is>
      </c>
      <c r="F4" s="3" t="inlineStr">
        <is>
          <t>Denial Code</t>
        </is>
      </c>
      <c r="G4" s="3" t="inlineStr">
        <is>
          <t>Denial Reason</t>
        </is>
      </c>
      <c r="H4" s="3" t="inlineStr">
        <is>
          <t>Days to Resolution</t>
        </is>
      </c>
      <c r="I4" s="3" t="inlineStr">
        <is>
          <t>Status</t>
        </is>
      </c>
      <c r="J4" s="3" t="inlineStr">
        <is>
          <t>Recovered Amount</t>
        </is>
      </c>
    </row>
    <row r="5">
      <c r="A5" t="inlineStr">
        <is>
          <t>2026-01-15</t>
        </is>
      </c>
      <c r="B5" t="inlineStr">
        <is>
          <t>PT001</t>
        </is>
      </c>
      <c r="C5" t="inlineStr">
        <is>
          <t>UHC</t>
        </is>
      </c>
      <c r="D5" t="inlineStr">
        <is>
          <t>99213</t>
        </is>
      </c>
      <c r="E5" s="4" t="n">
        <v>150</v>
      </c>
      <c r="F5" t="inlineStr">
        <is>
          <t>CO-50</t>
        </is>
      </c>
      <c r="G5" t="inlineStr">
        <is>
          <t>Lack of medical necessity</t>
        </is>
      </c>
      <c r="H5" t="n">
        <v>45</v>
      </c>
      <c r="I5" t="inlineStr">
        <is>
          <t>Appealed</t>
        </is>
      </c>
      <c r="J5" s="4" t="n">
        <v>150</v>
      </c>
    </row>
    <row r="6">
      <c r="A6" t="inlineStr">
        <is>
          <t>2026-01-18</t>
        </is>
      </c>
      <c r="B6" t="inlineStr">
        <is>
          <t>PT002</t>
        </is>
      </c>
      <c r="C6" t="inlineStr">
        <is>
          <t>Aetna</t>
        </is>
      </c>
      <c r="D6" t="inlineStr">
        <is>
          <t>99214</t>
        </is>
      </c>
      <c r="E6" s="4" t="n">
        <v>210</v>
      </c>
      <c r="F6" t="inlineStr">
        <is>
          <t>CO-197</t>
        </is>
      </c>
      <c r="G6" t="inlineStr">
        <is>
          <t>Precertification missing</t>
        </is>
      </c>
      <c r="H6" t="n">
        <v>12</v>
      </c>
      <c r="I6" t="inlineStr">
        <is>
          <t>Recovered</t>
        </is>
      </c>
      <c r="J6" s="4" t="n">
        <v>210</v>
      </c>
    </row>
    <row r="7">
      <c r="A7" t="inlineStr">
        <is>
          <t>2026-01-20</t>
        </is>
      </c>
      <c r="B7" t="inlineStr">
        <is>
          <t>PT003</t>
        </is>
      </c>
      <c r="C7" t="inlineStr">
        <is>
          <t>Cigna</t>
        </is>
      </c>
      <c r="D7" t="inlineStr">
        <is>
          <t>99215</t>
        </is>
      </c>
      <c r="E7" s="4" t="n">
        <v>280</v>
      </c>
      <c r="F7" t="inlineStr">
        <is>
          <t>CO-16</t>
        </is>
      </c>
      <c r="G7" t="inlineStr">
        <is>
          <t>Claim lacks information</t>
        </is>
      </c>
      <c r="H7" t="n">
        <v>8</v>
      </c>
      <c r="I7" t="inlineStr">
        <is>
          <t>Recovered</t>
        </is>
      </c>
      <c r="J7" s="4" t="n">
        <v>280</v>
      </c>
    </row>
    <row r="8">
      <c r="A8" t="inlineStr">
        <is>
          <t>2026-01-22</t>
        </is>
      </c>
      <c r="B8" t="inlineStr">
        <is>
          <t>PT004</t>
        </is>
      </c>
      <c r="C8" t="inlineStr">
        <is>
          <t>BCBS</t>
        </is>
      </c>
      <c r="D8" t="inlineStr">
        <is>
          <t>99213</t>
        </is>
      </c>
      <c r="E8" s="4" t="n">
        <v>150</v>
      </c>
      <c r="F8" t="inlineStr">
        <is>
          <t>CO-50</t>
        </is>
      </c>
      <c r="G8" t="inlineStr">
        <is>
          <t>Lack of medical necessity</t>
        </is>
      </c>
      <c r="H8" t="n">
        <v>60</v>
      </c>
      <c r="I8" t="inlineStr">
        <is>
          <t>Denied</t>
        </is>
      </c>
      <c r="J8" s="4" t="n">
        <v>0</v>
      </c>
    </row>
    <row r="9">
      <c r="A9" t="inlineStr">
        <is>
          <t>2026-01-25</t>
        </is>
      </c>
      <c r="B9" t="inlineStr">
        <is>
          <t>PT005</t>
        </is>
      </c>
      <c r="C9" t="inlineStr">
        <is>
          <t>UHC</t>
        </is>
      </c>
      <c r="D9" t="inlineStr">
        <is>
          <t>99214</t>
        </is>
      </c>
      <c r="E9" s="4" t="n">
        <v>210</v>
      </c>
      <c r="F9" t="inlineStr">
        <is>
          <t>CO-197</t>
        </is>
      </c>
      <c r="G9" t="inlineStr">
        <is>
          <t>Precertification missing</t>
        </is>
      </c>
      <c r="H9" t="n">
        <v>30</v>
      </c>
      <c r="I9" t="inlineStr">
        <is>
          <t>In Process</t>
        </is>
      </c>
      <c r="J9" s="4" t="n">
        <v>0</v>
      </c>
    </row>
    <row r="10">
      <c r="A10" t="inlineStr">
        <is>
          <t>2026-02-01</t>
        </is>
      </c>
      <c r="B10" t="inlineStr">
        <is>
          <t>PT006</t>
        </is>
      </c>
      <c r="C10" t="inlineStr">
        <is>
          <t>Aetna</t>
        </is>
      </c>
      <c r="D10" t="inlineStr">
        <is>
          <t>99215</t>
        </is>
      </c>
      <c r="E10" s="4" t="n">
        <v>280</v>
      </c>
      <c r="F10" t="inlineStr">
        <is>
          <t>CO-B4</t>
        </is>
      </c>
      <c r="G10" t="inlineStr">
        <is>
          <t>Out of network</t>
        </is>
      </c>
      <c r="I10" t="inlineStr">
        <is>
          <t>In Process</t>
        </is>
      </c>
      <c r="J10" s="4" t="n">
        <v>0</v>
      </c>
    </row>
    <row r="11">
      <c r="A11" t="inlineStr">
        <is>
          <t>2026-02-05</t>
        </is>
      </c>
      <c r="B11" t="inlineStr">
        <is>
          <t>PT007</t>
        </is>
      </c>
      <c r="C11" t="inlineStr">
        <is>
          <t>Cigna</t>
        </is>
      </c>
      <c r="D11" t="inlineStr">
        <is>
          <t>99213</t>
        </is>
      </c>
      <c r="E11" s="4" t="n">
        <v>150</v>
      </c>
      <c r="F11" t="inlineStr">
        <is>
          <t>CO-50</t>
        </is>
      </c>
      <c r="G11" t="inlineStr">
        <is>
          <t>Lack of medical necessity</t>
        </is>
      </c>
      <c r="H11" t="n">
        <v>15</v>
      </c>
      <c r="I11" t="inlineStr">
        <is>
          <t>Recovered</t>
        </is>
      </c>
      <c r="J11" s="4" t="n">
        <v>150</v>
      </c>
    </row>
    <row r="12">
      <c r="A12" t="inlineStr">
        <is>
          <t>2026-02-10</t>
        </is>
      </c>
      <c r="B12" t="inlineStr">
        <is>
          <t>PT008</t>
        </is>
      </c>
      <c r="C12" t="inlineStr">
        <is>
          <t>UHC</t>
        </is>
      </c>
      <c r="D12" t="inlineStr">
        <is>
          <t>99214</t>
        </is>
      </c>
      <c r="E12" s="4" t="n">
        <v>210</v>
      </c>
      <c r="F12" t="inlineStr">
        <is>
          <t>CO-16</t>
        </is>
      </c>
      <c r="G12" t="inlineStr">
        <is>
          <t>Claim lacks information</t>
        </is>
      </c>
      <c r="I12" t="inlineStr">
        <is>
          <t>In Process</t>
        </is>
      </c>
      <c r="J12" s="4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22" customWidth="1" min="5" max="5"/>
    <col width="12" customWidth="1" min="6" max="6"/>
    <col width="15" customWidth="1" min="7" max="7"/>
  </cols>
  <sheetData>
    <row r="1">
      <c r="A1" s="1" t="inlineStr">
        <is>
          <t>Denial Analytics Dashboard</t>
        </is>
      </c>
    </row>
    <row r="3">
      <c r="A3" s="3" t="inlineStr">
        <is>
          <t>KEY METRICS</t>
        </is>
      </c>
    </row>
    <row r="5">
      <c r="A5" t="inlineStr">
        <is>
          <t>Total Denials:</t>
        </is>
      </c>
      <c r="B5" s="5">
        <f>COUNTA('Denials Log'!A5:A1000)</f>
        <v/>
      </c>
    </row>
    <row r="6">
      <c r="A6" t="inlineStr">
        <is>
          <t>Total Denied Amount:</t>
        </is>
      </c>
      <c r="B6" s="6">
        <f>SUM('Denials Log'!E5:E1000)</f>
        <v/>
      </c>
    </row>
    <row r="7">
      <c r="A7" t="inlineStr">
        <is>
          <t>Total Recovered:</t>
        </is>
      </c>
      <c r="B7" s="7">
        <f>SUM('Denials Log'!J5:J1000)</f>
        <v/>
      </c>
    </row>
    <row r="8">
      <c r="A8" t="inlineStr">
        <is>
          <t>Recovery Rate:</t>
        </is>
      </c>
      <c r="B8" s="8">
        <f>B7/B6</f>
        <v/>
      </c>
    </row>
    <row r="9">
      <c r="A9" t="inlineStr">
        <is>
          <t>Avg Days to Resolution:</t>
        </is>
      </c>
      <c r="B9" s="9">
        <f>AVERAGE('Denials Log'!H5:H1000)</f>
        <v/>
      </c>
    </row>
    <row r="11">
      <c r="A11" s="3" t="inlineStr">
        <is>
          <t>TOP DENIAL CODES</t>
        </is>
      </c>
      <c r="E11" s="3" t="inlineStr">
        <is>
          <t>TOP PAYORS (By Denial Count)</t>
        </is>
      </c>
    </row>
    <row r="13">
      <c r="A13" s="10" t="inlineStr">
        <is>
          <t>Denial Code</t>
        </is>
      </c>
      <c r="B13" s="10" t="inlineStr">
        <is>
          <t>Count</t>
        </is>
      </c>
      <c r="C13" s="10" t="inlineStr">
        <is>
          <t>Amount</t>
        </is>
      </c>
      <c r="E13" s="10" t="inlineStr">
        <is>
          <t>Payor</t>
        </is>
      </c>
      <c r="F13" s="10" t="inlineStr">
        <is>
          <t>Denials</t>
        </is>
      </c>
      <c r="G13" s="10" t="inlineStr">
        <is>
          <t>Amount</t>
        </is>
      </c>
    </row>
  </sheetData>
  <mergeCells count="4">
    <mergeCell ref="A3:B3"/>
    <mergeCell ref="A1:F1"/>
    <mergeCell ref="A11:C11"/>
    <mergeCell ref="E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2026-02-20T04:56:44Z</dcterms:created>
  <dcterms:modified xmlns:dcterms="http://purl.org/dc/terms/" xmlns:xsi="http://www.w3.org/2001/XMLSchema-instance" xsi:type="dcterms:W3CDTF">2026-02-20T04:56:44Z</dcterms:modified>
</cp:coreProperties>
</file>